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734\Downloads\"/>
    </mc:Choice>
  </mc:AlternateContent>
  <xr:revisionPtr revIDLastSave="0" documentId="13_ncr:1_{977C941A-3743-4E27-B716-1FC43844AF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pany X" sheetId="1" r:id="rId1"/>
    <sheet name="Company Y" sheetId="2" r:id="rId2"/>
    <sheet name="Company Z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3" l="1"/>
  <c r="S7" i="3" s="1"/>
  <c r="P7" i="3"/>
  <c r="U7" i="3" s="1"/>
  <c r="O7" i="3"/>
  <c r="S7" i="2"/>
  <c r="Q7" i="2"/>
  <c r="P7" i="2"/>
  <c r="V7" i="2" s="1"/>
  <c r="O7" i="2"/>
  <c r="R7" i="2" s="1"/>
  <c r="V7" i="1"/>
  <c r="U7" i="1"/>
  <c r="R7" i="1"/>
  <c r="S7" i="1"/>
  <c r="P7" i="1"/>
  <c r="Q7" i="1"/>
  <c r="O7" i="1"/>
  <c r="L26" i="3"/>
  <c r="K26" i="3"/>
  <c r="I26" i="3"/>
  <c r="H26" i="3"/>
  <c r="L25" i="3"/>
  <c r="K25" i="3"/>
  <c r="I25" i="3"/>
  <c r="H25" i="3"/>
  <c r="L24" i="3"/>
  <c r="K24" i="3"/>
  <c r="I24" i="3"/>
  <c r="H24" i="3"/>
  <c r="L23" i="3"/>
  <c r="K23" i="3"/>
  <c r="H23" i="3"/>
  <c r="L21" i="3"/>
  <c r="K21" i="3"/>
  <c r="I21" i="3"/>
  <c r="H21" i="3"/>
  <c r="L20" i="3"/>
  <c r="K20" i="3"/>
  <c r="I20" i="3"/>
  <c r="H20" i="3"/>
  <c r="L19" i="3"/>
  <c r="K19" i="3"/>
  <c r="I19" i="3"/>
  <c r="H19" i="3"/>
  <c r="L18" i="3"/>
  <c r="K18" i="3"/>
  <c r="I18" i="3"/>
  <c r="H18" i="3"/>
  <c r="L17" i="3"/>
  <c r="K17" i="3"/>
  <c r="I17" i="3"/>
  <c r="H17" i="3"/>
  <c r="L13" i="3"/>
  <c r="K13" i="3"/>
  <c r="I13" i="3"/>
  <c r="H13" i="3"/>
  <c r="L12" i="3"/>
  <c r="K12" i="3"/>
  <c r="I12" i="3"/>
  <c r="H12" i="3"/>
  <c r="L11" i="3"/>
  <c r="K11" i="3"/>
  <c r="I11" i="3"/>
  <c r="H11" i="3"/>
  <c r="L10" i="3"/>
  <c r="K10" i="3"/>
  <c r="I10" i="3"/>
  <c r="H10" i="3"/>
  <c r="I9" i="3"/>
  <c r="H9" i="3"/>
  <c r="L8" i="3"/>
  <c r="K8" i="3"/>
  <c r="I8" i="3"/>
  <c r="H8" i="3"/>
  <c r="L7" i="3"/>
  <c r="K7" i="3"/>
  <c r="I7" i="3"/>
  <c r="H7" i="3"/>
  <c r="L6" i="3"/>
  <c r="K6" i="3"/>
  <c r="I6" i="3"/>
  <c r="H6" i="3"/>
  <c r="L5" i="3"/>
  <c r="K5" i="3"/>
  <c r="I5" i="3"/>
  <c r="H5" i="3"/>
  <c r="L4" i="3"/>
  <c r="K4" i="3"/>
  <c r="I4" i="3"/>
  <c r="H4" i="3"/>
  <c r="L26" i="2"/>
  <c r="K26" i="2"/>
  <c r="I26" i="2"/>
  <c r="H26" i="2"/>
  <c r="L25" i="2"/>
  <c r="K25" i="2"/>
  <c r="I25" i="2"/>
  <c r="H25" i="2"/>
  <c r="L24" i="2"/>
  <c r="K24" i="2"/>
  <c r="I24" i="2"/>
  <c r="H24" i="2"/>
  <c r="L23" i="2"/>
  <c r="K23" i="2"/>
  <c r="H23" i="2"/>
  <c r="L21" i="2"/>
  <c r="K21" i="2"/>
  <c r="I21" i="2"/>
  <c r="H21" i="2"/>
  <c r="L20" i="2"/>
  <c r="K20" i="2"/>
  <c r="I20" i="2"/>
  <c r="H20" i="2"/>
  <c r="L19" i="2"/>
  <c r="K19" i="2"/>
  <c r="I19" i="2"/>
  <c r="H19" i="2"/>
  <c r="L18" i="2"/>
  <c r="K18" i="2"/>
  <c r="I18" i="2"/>
  <c r="H18" i="2"/>
  <c r="L17" i="2"/>
  <c r="K17" i="2"/>
  <c r="I17" i="2"/>
  <c r="H17" i="2"/>
  <c r="L13" i="2"/>
  <c r="K13" i="2"/>
  <c r="I13" i="2"/>
  <c r="H13" i="2"/>
  <c r="L12" i="2"/>
  <c r="K12" i="2"/>
  <c r="I12" i="2"/>
  <c r="H12" i="2"/>
  <c r="L11" i="2"/>
  <c r="K11" i="2"/>
  <c r="I11" i="2"/>
  <c r="H11" i="2"/>
  <c r="L10" i="2"/>
  <c r="K10" i="2"/>
  <c r="I10" i="2"/>
  <c r="H10" i="2"/>
  <c r="I9" i="2"/>
  <c r="H9" i="2"/>
  <c r="L8" i="2"/>
  <c r="K8" i="2"/>
  <c r="I8" i="2"/>
  <c r="H8" i="2"/>
  <c r="L7" i="2"/>
  <c r="K7" i="2"/>
  <c r="I7" i="2"/>
  <c r="H7" i="2"/>
  <c r="L6" i="2"/>
  <c r="K6" i="2"/>
  <c r="I6" i="2"/>
  <c r="H6" i="2"/>
  <c r="L5" i="2"/>
  <c r="K5" i="2"/>
  <c r="I5" i="2"/>
  <c r="H5" i="2"/>
  <c r="L4" i="2"/>
  <c r="K4" i="2"/>
  <c r="I4" i="2"/>
  <c r="H4" i="2"/>
  <c r="H4" i="1"/>
  <c r="I4" i="1"/>
  <c r="K4" i="1"/>
  <c r="L4" i="1"/>
  <c r="K11" i="1"/>
  <c r="H13" i="1"/>
  <c r="I13" i="1"/>
  <c r="K13" i="1"/>
  <c r="L13" i="1"/>
  <c r="L26" i="1"/>
  <c r="K26" i="1"/>
  <c r="L25" i="1"/>
  <c r="K25" i="1"/>
  <c r="L24" i="1"/>
  <c r="K24" i="1"/>
  <c r="L23" i="1"/>
  <c r="K23" i="1"/>
  <c r="L21" i="1"/>
  <c r="K21" i="1"/>
  <c r="L20" i="1"/>
  <c r="K20" i="1"/>
  <c r="L19" i="1"/>
  <c r="K19" i="1"/>
  <c r="L18" i="1"/>
  <c r="K18" i="1"/>
  <c r="L17" i="1"/>
  <c r="K17" i="1"/>
  <c r="L12" i="1"/>
  <c r="K12" i="1"/>
  <c r="L11" i="1"/>
  <c r="L10" i="1"/>
  <c r="K10" i="1"/>
  <c r="L8" i="1"/>
  <c r="K8" i="1"/>
  <c r="L7" i="1"/>
  <c r="K7" i="1"/>
  <c r="L6" i="1"/>
  <c r="K6" i="1"/>
  <c r="L5" i="1"/>
  <c r="K5" i="1"/>
  <c r="I5" i="1"/>
  <c r="I6" i="1"/>
  <c r="I7" i="1"/>
  <c r="I8" i="1"/>
  <c r="I9" i="1"/>
  <c r="I10" i="1"/>
  <c r="I11" i="1"/>
  <c r="I12" i="1"/>
  <c r="I17" i="1"/>
  <c r="I18" i="1"/>
  <c r="I19" i="1"/>
  <c r="I20" i="1"/>
  <c r="I21" i="1"/>
  <c r="I24" i="1"/>
  <c r="I25" i="1"/>
  <c r="I26" i="1"/>
  <c r="H5" i="1"/>
  <c r="H6" i="1"/>
  <c r="H7" i="1"/>
  <c r="H8" i="1"/>
  <c r="H9" i="1"/>
  <c r="H10" i="1"/>
  <c r="H11" i="1"/>
  <c r="H12" i="1"/>
  <c r="H17" i="1"/>
  <c r="H18" i="1"/>
  <c r="H19" i="1"/>
  <c r="H20" i="1"/>
  <c r="H21" i="1"/>
  <c r="H23" i="1"/>
  <c r="H24" i="1"/>
  <c r="H25" i="1"/>
  <c r="H26" i="1"/>
  <c r="V7" i="3" l="1"/>
  <c r="R7" i="3"/>
  <c r="U7" i="2"/>
</calcChain>
</file>

<file path=xl/sharedStrings.xml><?xml version="1.0" encoding="utf-8"?>
<sst xmlns="http://schemas.openxmlformats.org/spreadsheetml/2006/main" count="196" uniqueCount="36">
  <si>
    <t>Sales/Revenue</t>
  </si>
  <si>
    <t>COGS</t>
  </si>
  <si>
    <t>Gross Profit</t>
  </si>
  <si>
    <t>Operating Expense</t>
  </si>
  <si>
    <t>Operating Profit</t>
  </si>
  <si>
    <t>Interest Revenue</t>
  </si>
  <si>
    <t>EBIT</t>
  </si>
  <si>
    <t>Interest Expense</t>
  </si>
  <si>
    <t>Tax</t>
  </si>
  <si>
    <t>Net Income</t>
  </si>
  <si>
    <t>Cash</t>
  </si>
  <si>
    <t>Accounts Receivable</t>
  </si>
  <si>
    <t>Inventory</t>
  </si>
  <si>
    <t>Fixed Assets</t>
  </si>
  <si>
    <t>Accounts Payable</t>
  </si>
  <si>
    <t>Long-Term Debt</t>
  </si>
  <si>
    <t>Common Stock</t>
  </si>
  <si>
    <t>Total Assets</t>
  </si>
  <si>
    <t>Total Equity &amp; Liabilities</t>
  </si>
  <si>
    <t>Year 0</t>
  </si>
  <si>
    <t>Year 1</t>
  </si>
  <si>
    <t>Year 2</t>
  </si>
  <si>
    <t>Balance Sheet</t>
  </si>
  <si>
    <t>Income Statement</t>
  </si>
  <si>
    <t>Y1 - Y0</t>
  </si>
  <si>
    <t>Y2 - Y1</t>
  </si>
  <si>
    <t>Company X (No financing opportunities)</t>
  </si>
  <si>
    <t>Company Y (Last five years) 12 months at 0% interest</t>
  </si>
  <si>
    <t>Company Z (Last 2 years) upto 24 months at 2 %</t>
  </si>
  <si>
    <t>Y1 - Y0 (% Change)</t>
  </si>
  <si>
    <t>Y2 - Y1 (% Change)</t>
  </si>
  <si>
    <t>`</t>
  </si>
  <si>
    <t>Operating Cost</t>
  </si>
  <si>
    <t>Y0</t>
  </si>
  <si>
    <t>Y2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</si>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</sst>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1" applyFont="1" applyBorder="1"/>
    <xf numFmtId="164" fontId="0" fillId="0" borderId="2" xfId="1" applyFont="1" applyBorder="1"/>
    <xf numFmtId="164" fontId="0" fillId="0" borderId="0" xfId="1" applyFont="1"/>
    <xf numFmtId="164" fontId="0" fillId="0" borderId="1" xfId="1" applyFont="1" applyBorder="1"/>
    <xf numFmtId="164" fontId="0" fillId="0" borderId="3" xfId="1" applyFont="1" applyFill="1" applyBorder="1"/>
    <xf numFmtId="0" fontId="1" fillId="0" borderId="4" xfId="0" applyFont="1" applyBorder="1" applyAlignment="1">
      <alignment horizontal="center" vertical="top"/>
    </xf>
    <xf numFmtId="164" fontId="0" fillId="0" borderId="4" xfId="1" applyFont="1" applyBorder="1"/>
    <xf numFmtId="0" fontId="1" fillId="0" borderId="3" xfId="0" applyFont="1" applyBorder="1" applyAlignment="1">
      <alignment horizontal="center" vertical="top"/>
    </xf>
    <xf numFmtId="164" fontId="0" fillId="0" borderId="3" xfId="1" applyFont="1" applyBorder="1"/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43" fontId="0" fillId="0" borderId="0" xfId="0" applyNumberFormat="1"/>
    <xf numFmtId="0" fontId="1" fillId="0" borderId="0" xfId="0" applyFont="1" applyBorder="1" applyAlignment="1">
      <alignment horizontal="center"/>
    </xf>
    <xf numFmtId="9" fontId="0" fillId="0" borderId="0" xfId="2" applyFont="1"/>
    <xf numFmtId="43" fontId="0" fillId="0" borderId="0" xfId="0" applyNumberFormat="1" applyBorder="1"/>
    <xf numFmtId="0" fontId="0" fillId="0" borderId="0" xfId="0" applyBorder="1"/>
    <xf numFmtId="9" fontId="0" fillId="0" borderId="0" xfId="2" applyFont="1" applyBorder="1"/>
    <xf numFmtId="43" fontId="0" fillId="0" borderId="1" xfId="0" applyNumberFormat="1" applyBorder="1"/>
    <xf numFmtId="0" fontId="0" fillId="0" borderId="1" xfId="0" applyBorder="1"/>
    <xf numFmtId="9" fontId="0" fillId="0" borderId="1" xfId="2" applyFont="1" applyBorder="1"/>
    <xf numFmtId="0" fontId="3" fillId="0" borderId="0" xfId="0" applyFont="1" applyBorder="1" applyAlignment="1">
      <alignment horizontal="center"/>
    </xf>
    <xf numFmtId="164" fontId="0" fillId="0" borderId="0" xfId="1" applyFont="1" applyFill="1" applyBorder="1"/>
    <xf numFmtId="0" fontId="1" fillId="0" borderId="0" xfId="0" applyFont="1" applyBorder="1" applyAlignment="1">
      <alignment horizontal="center" vertical="top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opLeftCell="C1" zoomScale="74" zoomScaleNormal="150" workbookViewId="0">
      <selection activeCell="L24" sqref="L24"/>
    </sheetView>
  </sheetViews>
  <sheetFormatPr defaultColWidth="8.77734375" defaultRowHeight="14.4" x14ac:dyDescent="0.3"/>
  <cols>
    <col min="1" max="5" width="20.77734375" customWidth="1"/>
    <col min="7" max="7" width="22.6640625" bestFit="1" customWidth="1"/>
    <col min="11" max="12" width="17.109375" bestFit="1" customWidth="1"/>
    <col min="14" max="14" width="14.33203125" bestFit="1" customWidth="1"/>
    <col min="15" max="17" width="9.44140625" bestFit="1" customWidth="1"/>
    <col min="18" max="18" width="7.77734375" bestFit="1" customWidth="1"/>
    <col min="19" max="19" width="7.33203125" bestFit="1" customWidth="1"/>
    <col min="21" max="22" width="17.5546875" bestFit="1" customWidth="1"/>
  </cols>
  <sheetData>
    <row r="1" spans="1:22" ht="21" x14ac:dyDescent="0.4">
      <c r="A1" s="17" t="s">
        <v>26</v>
      </c>
      <c r="B1" s="17"/>
      <c r="C1" s="17"/>
      <c r="D1" s="17"/>
      <c r="E1" s="16"/>
    </row>
    <row r="2" spans="1:22" x14ac:dyDescent="0.3">
      <c r="C2" s="1"/>
    </row>
    <row r="3" spans="1:22" ht="15" thickBot="1" x14ac:dyDescent="0.35">
      <c r="A3" s="15" t="s">
        <v>23</v>
      </c>
      <c r="B3" s="13" t="s">
        <v>19</v>
      </c>
      <c r="C3" s="13" t="s">
        <v>20</v>
      </c>
      <c r="D3" s="13" t="s">
        <v>21</v>
      </c>
      <c r="E3" s="20"/>
      <c r="F3" s="18" t="s">
        <v>31</v>
      </c>
      <c r="G3" s="15" t="s">
        <v>23</v>
      </c>
      <c r="H3" s="15" t="s">
        <v>24</v>
      </c>
      <c r="I3" s="15" t="s">
        <v>25</v>
      </c>
      <c r="J3" s="15"/>
      <c r="K3" s="15" t="s">
        <v>29</v>
      </c>
      <c r="L3" s="15" t="s">
        <v>30</v>
      </c>
    </row>
    <row r="4" spans="1:22" x14ac:dyDescent="0.3">
      <c r="A4" s="1" t="s">
        <v>0</v>
      </c>
      <c r="B4" s="4">
        <v>5027</v>
      </c>
      <c r="C4" s="4">
        <v>5220</v>
      </c>
      <c r="D4" s="4">
        <v>5133</v>
      </c>
      <c r="E4" s="4"/>
      <c r="G4" s="30" t="s">
        <v>0</v>
      </c>
      <c r="H4" s="19">
        <f>C4-B4</f>
        <v>193</v>
      </c>
      <c r="I4" s="19">
        <f>D4-C4</f>
        <v>-87</v>
      </c>
      <c r="K4" s="21">
        <f>(C4-B4)/B4</f>
        <v>3.8392679530535108E-2</v>
      </c>
      <c r="L4" s="21">
        <f>(D4-C4)/C4</f>
        <v>-1.6666666666666666E-2</v>
      </c>
    </row>
    <row r="5" spans="1:22" x14ac:dyDescent="0.3">
      <c r="A5" s="3" t="s">
        <v>1</v>
      </c>
      <c r="B5" s="5">
        <v>2764</v>
      </c>
      <c r="C5" s="5">
        <v>2875</v>
      </c>
      <c r="D5" s="5">
        <v>2830</v>
      </c>
      <c r="E5" s="4"/>
      <c r="G5" s="30" t="s">
        <v>1</v>
      </c>
      <c r="H5" s="19">
        <f>C5-B5</f>
        <v>111</v>
      </c>
      <c r="I5" s="19">
        <f>D5-C5</f>
        <v>-45</v>
      </c>
      <c r="K5" s="21">
        <f>(C5-B5)/B5</f>
        <v>4.0159189580318382E-2</v>
      </c>
      <c r="L5" s="21">
        <f>(D5-C5)/C5</f>
        <v>-1.5652173913043479E-2</v>
      </c>
    </row>
    <row r="6" spans="1:22" ht="15" thickBot="1" x14ac:dyDescent="0.35">
      <c r="A6" s="3" t="s">
        <v>2</v>
      </c>
      <c r="B6" s="5">
        <v>2263</v>
      </c>
      <c r="C6" s="5">
        <v>2345</v>
      </c>
      <c r="D6" s="5">
        <v>2303</v>
      </c>
      <c r="E6" s="4"/>
      <c r="G6" s="30" t="s">
        <v>2</v>
      </c>
      <c r="H6" s="19">
        <f>C6-B6</f>
        <v>82</v>
      </c>
      <c r="I6" s="19">
        <f>D6-C6</f>
        <v>-42</v>
      </c>
      <c r="K6" s="21">
        <f>(C6-B6)/B6</f>
        <v>3.6235086168802472E-2</v>
      </c>
      <c r="L6" s="21">
        <f>(D6-C6)/C6</f>
        <v>-1.7910447761194031E-2</v>
      </c>
      <c r="O6" s="15" t="s">
        <v>33</v>
      </c>
      <c r="P6" s="15" t="s">
        <v>35</v>
      </c>
      <c r="Q6" s="15" t="s">
        <v>34</v>
      </c>
      <c r="R6" s="15" t="s">
        <v>24</v>
      </c>
      <c r="S6" s="15" t="s">
        <v>25</v>
      </c>
      <c r="T6" s="15"/>
      <c r="U6" s="15" t="s">
        <v>29</v>
      </c>
      <c r="V6" s="15" t="s">
        <v>30</v>
      </c>
    </row>
    <row r="7" spans="1:22" x14ac:dyDescent="0.3">
      <c r="A7" s="1" t="s">
        <v>3</v>
      </c>
      <c r="B7" s="6">
        <v>1156</v>
      </c>
      <c r="C7" s="6">
        <v>1204</v>
      </c>
      <c r="D7" s="6">
        <v>1188</v>
      </c>
      <c r="E7" s="6"/>
      <c r="G7" s="30" t="s">
        <v>3</v>
      </c>
      <c r="H7" s="19">
        <f>C7-B7</f>
        <v>48</v>
      </c>
      <c r="I7" s="19">
        <f>D7-C7</f>
        <v>-16</v>
      </c>
      <c r="K7" s="21">
        <f>(C7-B7)/B7</f>
        <v>4.1522491349480967E-2</v>
      </c>
      <c r="L7" s="21">
        <f>(D7-C7)/C7</f>
        <v>-1.3289036544850499E-2</v>
      </c>
      <c r="N7" s="28" t="s">
        <v>32</v>
      </c>
      <c r="O7" s="19">
        <f>B5+B7</f>
        <v>3920</v>
      </c>
      <c r="P7" s="19">
        <f t="shared" ref="P7:Q7" si="0">C5+C7</f>
        <v>4079</v>
      </c>
      <c r="Q7" s="19">
        <f t="shared" si="0"/>
        <v>4018</v>
      </c>
      <c r="R7" s="19">
        <f>P7-O7</f>
        <v>159</v>
      </c>
      <c r="S7" s="19">
        <f>Q7-P7</f>
        <v>-61</v>
      </c>
      <c r="U7" s="21">
        <f>(P7-O7)/O7</f>
        <v>4.0561224489795919E-2</v>
      </c>
      <c r="V7" s="21">
        <f>(Q7-P7)/P7</f>
        <v>-1.4954645746506496E-2</v>
      </c>
    </row>
    <row r="8" spans="1:22" x14ac:dyDescent="0.3">
      <c r="A8" s="3" t="s">
        <v>4</v>
      </c>
      <c r="B8" s="5">
        <v>1107</v>
      </c>
      <c r="C8" s="5">
        <v>1141</v>
      </c>
      <c r="D8" s="5">
        <v>1115</v>
      </c>
      <c r="E8" s="4"/>
      <c r="G8" s="30" t="s">
        <v>4</v>
      </c>
      <c r="H8" s="19">
        <f>C8-B8</f>
        <v>34</v>
      </c>
      <c r="I8" s="19">
        <f>D8-C8</f>
        <v>-26</v>
      </c>
      <c r="K8" s="21">
        <f>(C8-B8)/B8</f>
        <v>3.071364046973803E-2</v>
      </c>
      <c r="L8" s="21">
        <f>(D8-C8)/C8</f>
        <v>-2.2787028921998246E-2</v>
      </c>
    </row>
    <row r="9" spans="1:22" x14ac:dyDescent="0.3">
      <c r="A9" s="3" t="s">
        <v>5</v>
      </c>
      <c r="B9" s="5">
        <v>0</v>
      </c>
      <c r="C9" s="5">
        <v>0</v>
      </c>
      <c r="D9" s="5">
        <v>0</v>
      </c>
      <c r="E9" s="4"/>
      <c r="G9" s="30" t="s">
        <v>5</v>
      </c>
      <c r="H9" s="19">
        <f>C9-B9</f>
        <v>0</v>
      </c>
      <c r="I9" s="19">
        <f>D9-C9</f>
        <v>0</v>
      </c>
      <c r="K9" s="21"/>
      <c r="L9" s="21"/>
    </row>
    <row r="10" spans="1:22" x14ac:dyDescent="0.3">
      <c r="A10" s="1" t="s">
        <v>6</v>
      </c>
      <c r="B10" s="4">
        <v>1107</v>
      </c>
      <c r="C10" s="4">
        <v>1204</v>
      </c>
      <c r="D10" s="4">
        <v>1115</v>
      </c>
      <c r="E10" s="4"/>
      <c r="G10" s="30" t="s">
        <v>6</v>
      </c>
      <c r="H10" s="19">
        <f>C10-B10</f>
        <v>97</v>
      </c>
      <c r="I10" s="19">
        <f>D10-C10</f>
        <v>-89</v>
      </c>
      <c r="K10" s="21">
        <f>(C10-B10)/B10</f>
        <v>8.7624209575429088E-2</v>
      </c>
      <c r="L10" s="21">
        <f>(D10-C10)/C10</f>
        <v>-7.3920265780730895E-2</v>
      </c>
    </row>
    <row r="11" spans="1:22" x14ac:dyDescent="0.3">
      <c r="A11" s="1" t="s">
        <v>7</v>
      </c>
      <c r="B11" s="4">
        <v>178</v>
      </c>
      <c r="C11" s="4">
        <v>180</v>
      </c>
      <c r="D11" s="4">
        <v>179</v>
      </c>
      <c r="E11" s="4"/>
      <c r="G11" s="30" t="s">
        <v>7</v>
      </c>
      <c r="H11" s="19">
        <f>C11-B11</f>
        <v>2</v>
      </c>
      <c r="I11" s="19">
        <f>D11-C11</f>
        <v>-1</v>
      </c>
      <c r="K11" s="21">
        <f>(C11-B11)/B11</f>
        <v>1.1235955056179775E-2</v>
      </c>
      <c r="L11" s="21">
        <f>(D11-C11)/C11</f>
        <v>-5.5555555555555558E-3</v>
      </c>
    </row>
    <row r="12" spans="1:22" ht="15" thickBot="1" x14ac:dyDescent="0.35">
      <c r="A12" s="2" t="s">
        <v>8</v>
      </c>
      <c r="B12" s="7">
        <v>232</v>
      </c>
      <c r="C12" s="7">
        <v>239</v>
      </c>
      <c r="D12" s="7">
        <v>234</v>
      </c>
      <c r="E12" s="4"/>
      <c r="G12" s="2" t="s">
        <v>8</v>
      </c>
      <c r="H12" s="25">
        <f>C12-B12</f>
        <v>7</v>
      </c>
      <c r="I12" s="25">
        <f>D12-C12</f>
        <v>-5</v>
      </c>
      <c r="J12" s="26"/>
      <c r="K12" s="27">
        <f>(C12-B12)/B12</f>
        <v>3.017241379310345E-2</v>
      </c>
      <c r="L12" s="27">
        <f>(D12-C12)/C12</f>
        <v>-2.0920502092050208E-2</v>
      </c>
    </row>
    <row r="13" spans="1:22" ht="15" thickTop="1" x14ac:dyDescent="0.3">
      <c r="A13" s="1" t="s">
        <v>9</v>
      </c>
      <c r="B13" s="6">
        <v>697</v>
      </c>
      <c r="C13" s="6">
        <v>722</v>
      </c>
      <c r="D13" s="6">
        <v>702</v>
      </c>
      <c r="E13" s="6"/>
      <c r="G13" s="1" t="s">
        <v>9</v>
      </c>
      <c r="H13" s="22">
        <f>C13-B13</f>
        <v>25</v>
      </c>
      <c r="I13" s="22">
        <f>D13-C13</f>
        <v>-20</v>
      </c>
      <c r="J13" s="23"/>
      <c r="K13" s="24">
        <f>(C13-B13)/B13</f>
        <v>3.5868005738880916E-2</v>
      </c>
      <c r="L13" s="24">
        <f>(D13-C13)/C13</f>
        <v>-2.7700831024930747E-2</v>
      </c>
    </row>
    <row r="14" spans="1:22" x14ac:dyDescent="0.3">
      <c r="A14" s="1"/>
      <c r="B14" s="6"/>
      <c r="C14" s="6"/>
      <c r="D14" s="6"/>
      <c r="E14" s="6"/>
      <c r="H14" s="19"/>
      <c r="I14" s="19"/>
      <c r="K14" s="21"/>
      <c r="L14" s="21"/>
    </row>
    <row r="15" spans="1:22" x14ac:dyDescent="0.3">
      <c r="A15" s="1"/>
      <c r="C15" s="1"/>
      <c r="H15" s="19"/>
      <c r="I15" s="19"/>
      <c r="K15" s="21"/>
      <c r="L15" s="21"/>
    </row>
    <row r="16" spans="1:22" ht="15" thickBot="1" x14ac:dyDescent="0.35">
      <c r="A16" s="14" t="s">
        <v>22</v>
      </c>
      <c r="B16" s="13" t="s">
        <v>19</v>
      </c>
      <c r="C16" s="13" t="s">
        <v>20</v>
      </c>
      <c r="D16" s="13" t="s">
        <v>21</v>
      </c>
      <c r="E16" s="20"/>
      <c r="G16" s="14" t="s">
        <v>22</v>
      </c>
      <c r="H16" s="14" t="s">
        <v>24</v>
      </c>
      <c r="I16" s="14" t="s">
        <v>25</v>
      </c>
      <c r="J16" s="14"/>
      <c r="K16" s="14" t="s">
        <v>29</v>
      </c>
      <c r="L16" s="14" t="s">
        <v>30</v>
      </c>
    </row>
    <row r="17" spans="1:12" x14ac:dyDescent="0.3">
      <c r="A17" s="1" t="s">
        <v>10</v>
      </c>
      <c r="B17" s="6">
        <v>905</v>
      </c>
      <c r="C17" s="6">
        <v>950</v>
      </c>
      <c r="D17" s="6">
        <v>955</v>
      </c>
      <c r="E17" s="6"/>
      <c r="G17" s="1" t="s">
        <v>10</v>
      </c>
      <c r="H17" s="19">
        <f>C17-B17</f>
        <v>45</v>
      </c>
      <c r="I17" s="19">
        <f>D17-C17</f>
        <v>5</v>
      </c>
      <c r="K17" s="21">
        <f>(C17-B17)/B17</f>
        <v>4.9723756906077346E-2</v>
      </c>
      <c r="L17" s="21">
        <f>(D17-C17)/C17</f>
        <v>5.263157894736842E-3</v>
      </c>
    </row>
    <row r="18" spans="1:12" x14ac:dyDescent="0.3">
      <c r="A18" s="1" t="s">
        <v>11</v>
      </c>
      <c r="B18" s="6">
        <v>500</v>
      </c>
      <c r="C18" s="6">
        <v>530</v>
      </c>
      <c r="D18" s="6">
        <v>515</v>
      </c>
      <c r="E18" s="6"/>
      <c r="G18" s="1" t="s">
        <v>11</v>
      </c>
      <c r="H18" s="19">
        <f>C18-B18</f>
        <v>30</v>
      </c>
      <c r="I18" s="19">
        <f>D18-C18</f>
        <v>-15</v>
      </c>
      <c r="K18" s="21">
        <f>(C18-B18)/B18</f>
        <v>0.06</v>
      </c>
      <c r="L18" s="21">
        <f>(D18-C18)/C18</f>
        <v>-2.8301886792452831E-2</v>
      </c>
    </row>
    <row r="19" spans="1:12" x14ac:dyDescent="0.3">
      <c r="A19" s="1" t="s">
        <v>12</v>
      </c>
      <c r="B19" s="4">
        <v>800</v>
      </c>
      <c r="C19" s="4">
        <v>850</v>
      </c>
      <c r="D19" s="4">
        <v>870</v>
      </c>
      <c r="E19" s="4"/>
      <c r="G19" s="1" t="s">
        <v>12</v>
      </c>
      <c r="H19" s="19">
        <f>C19-B19</f>
        <v>50</v>
      </c>
      <c r="I19" s="19">
        <f>D19-C19</f>
        <v>20</v>
      </c>
      <c r="K19" s="21">
        <f>(C19-B19)/B19</f>
        <v>6.25E-2</v>
      </c>
      <c r="L19" s="21">
        <f>(D19-C19)/C19</f>
        <v>2.3529411764705882E-2</v>
      </c>
    </row>
    <row r="20" spans="1:12" ht="15" thickBot="1" x14ac:dyDescent="0.35">
      <c r="A20" s="2" t="s">
        <v>13</v>
      </c>
      <c r="B20" s="8">
        <v>2500</v>
      </c>
      <c r="C20" s="8">
        <v>2600</v>
      </c>
      <c r="D20" s="8">
        <v>2650</v>
      </c>
      <c r="E20" s="29"/>
      <c r="G20" s="2" t="s">
        <v>13</v>
      </c>
      <c r="H20" s="25">
        <f>C20-B20</f>
        <v>100</v>
      </c>
      <c r="I20" s="25">
        <f>D20-C20</f>
        <v>50</v>
      </c>
      <c r="J20" s="26"/>
      <c r="K20" s="27">
        <f>(C20-B20)/B20</f>
        <v>0.04</v>
      </c>
      <c r="L20" s="27">
        <f>(D20-C20)/C20</f>
        <v>1.9230769230769232E-2</v>
      </c>
    </row>
    <row r="21" spans="1:12" ht="15" thickTop="1" x14ac:dyDescent="0.3">
      <c r="A21" s="1" t="s">
        <v>17</v>
      </c>
      <c r="B21" s="6">
        <v>4725</v>
      </c>
      <c r="C21" s="6">
        <v>4930</v>
      </c>
      <c r="D21" s="6">
        <v>5020</v>
      </c>
      <c r="E21" s="6"/>
      <c r="G21" s="1" t="s">
        <v>17</v>
      </c>
      <c r="H21" s="19">
        <f>C21-B21</f>
        <v>205</v>
      </c>
      <c r="I21" s="19">
        <f>D21-C21</f>
        <v>90</v>
      </c>
      <c r="K21" s="21">
        <f>(C21-B21)/B21</f>
        <v>4.3386243386243389E-2</v>
      </c>
      <c r="L21" s="21">
        <f>(D21-C21)/C21</f>
        <v>1.8255578093306288E-2</v>
      </c>
    </row>
    <row r="22" spans="1:12" x14ac:dyDescent="0.3">
      <c r="A22" s="1"/>
      <c r="B22" s="6"/>
      <c r="C22" s="6"/>
      <c r="D22" s="6"/>
      <c r="E22" s="6"/>
      <c r="G22" s="1"/>
      <c r="H22" s="19"/>
      <c r="I22" s="19"/>
      <c r="K22" s="21"/>
      <c r="L22" s="21"/>
    </row>
    <row r="23" spans="1:12" x14ac:dyDescent="0.3">
      <c r="A23" s="1" t="s">
        <v>14</v>
      </c>
      <c r="B23" s="6">
        <v>600</v>
      </c>
      <c r="C23" s="6">
        <v>620</v>
      </c>
      <c r="D23" s="6">
        <v>620</v>
      </c>
      <c r="E23" s="6"/>
      <c r="G23" s="1" t="s">
        <v>14</v>
      </c>
      <c r="H23" s="19">
        <f>C23-B23</f>
        <v>20</v>
      </c>
      <c r="I23" s="19">
        <v>0</v>
      </c>
      <c r="K23" s="21">
        <f>(C23-B23)/B23</f>
        <v>3.3333333333333333E-2</v>
      </c>
      <c r="L23" s="21">
        <f>(D23-C23)/C23</f>
        <v>0</v>
      </c>
    </row>
    <row r="24" spans="1:12" x14ac:dyDescent="0.3">
      <c r="A24" s="1" t="s">
        <v>15</v>
      </c>
      <c r="B24" s="6">
        <v>1000</v>
      </c>
      <c r="C24" s="6">
        <v>1050</v>
      </c>
      <c r="D24" s="6">
        <v>1070</v>
      </c>
      <c r="E24" s="6"/>
      <c r="G24" s="1" t="s">
        <v>15</v>
      </c>
      <c r="H24" s="19">
        <f>C24-B24</f>
        <v>50</v>
      </c>
      <c r="I24" s="19">
        <f>D24-C24</f>
        <v>20</v>
      </c>
      <c r="K24" s="21">
        <f>(C24-B24)/B24</f>
        <v>0.05</v>
      </c>
      <c r="L24" s="21">
        <f>(D24-C24)/C24</f>
        <v>1.9047619047619049E-2</v>
      </c>
    </row>
    <row r="25" spans="1:12" ht="15" thickBot="1" x14ac:dyDescent="0.35">
      <c r="A25" s="2" t="s">
        <v>16</v>
      </c>
      <c r="B25" s="7">
        <v>3125</v>
      </c>
      <c r="C25" s="7">
        <v>3260</v>
      </c>
      <c r="D25" s="7">
        <v>3330</v>
      </c>
      <c r="E25" s="4"/>
      <c r="G25" s="2" t="s">
        <v>16</v>
      </c>
      <c r="H25" s="25">
        <f>C25-B25</f>
        <v>135</v>
      </c>
      <c r="I25" s="25">
        <f>D25-C25</f>
        <v>70</v>
      </c>
      <c r="J25" s="26"/>
      <c r="K25" s="27">
        <f>(C25-B25)/B25</f>
        <v>4.3200000000000002E-2</v>
      </c>
      <c r="L25" s="27">
        <f>(D25-C25)/C25</f>
        <v>2.1472392638036811E-2</v>
      </c>
    </row>
    <row r="26" spans="1:12" ht="15" thickTop="1" x14ac:dyDescent="0.3">
      <c r="A26" s="1" t="s">
        <v>18</v>
      </c>
      <c r="B26" s="6">
        <v>4725</v>
      </c>
      <c r="C26" s="6">
        <v>4930</v>
      </c>
      <c r="D26" s="6">
        <v>5020</v>
      </c>
      <c r="E26" s="6"/>
      <c r="G26" s="1" t="s">
        <v>18</v>
      </c>
      <c r="H26" s="19">
        <f>C26-B26</f>
        <v>205</v>
      </c>
      <c r="I26" s="19">
        <f>D26-C26</f>
        <v>90</v>
      </c>
      <c r="K26" s="21">
        <f>(C26-B26)/B26</f>
        <v>4.3386243386243389E-2</v>
      </c>
      <c r="L26" s="21">
        <f>(D26-C26)/C26</f>
        <v>1.8255578093306288E-2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6"/>
  <sheetViews>
    <sheetView tabSelected="1" topLeftCell="C1" zoomScale="74" zoomScaleNormal="150" workbookViewId="0">
      <selection activeCell="N14" sqref="N14"/>
    </sheetView>
  </sheetViews>
  <sheetFormatPr defaultColWidth="8.77734375" defaultRowHeight="14.4" x14ac:dyDescent="0.3"/>
  <cols>
    <col min="1" max="4" width="20.77734375" customWidth="1"/>
    <col min="5" max="5" width="8.88671875" customWidth="1"/>
    <col min="6" max="6" width="8.77734375" customWidth="1"/>
    <col min="7" max="7" width="22.6640625" bestFit="1" customWidth="1"/>
    <col min="8" max="8" width="8.33203125" bestFit="1" customWidth="1"/>
    <col min="9" max="9" width="10" bestFit="1" customWidth="1"/>
    <col min="10" max="10" width="17.109375" bestFit="1" customWidth="1"/>
    <col min="11" max="12" width="17.5546875" bestFit="1" customWidth="1"/>
    <col min="14" max="14" width="14.5546875" bestFit="1" customWidth="1"/>
    <col min="15" max="17" width="9.44140625" bestFit="1" customWidth="1"/>
    <col min="18" max="19" width="7.77734375" bestFit="1" customWidth="1"/>
    <col min="21" max="22" width="17.5546875" bestFit="1" customWidth="1"/>
  </cols>
  <sheetData>
    <row r="1" spans="1:22" ht="21" x14ac:dyDescent="0.4">
      <c r="A1" s="17" t="s">
        <v>27</v>
      </c>
      <c r="B1" s="17"/>
      <c r="C1" s="17"/>
      <c r="D1" s="17"/>
      <c r="E1" s="16"/>
    </row>
    <row r="2" spans="1:22" x14ac:dyDescent="0.3">
      <c r="C2" s="1"/>
    </row>
    <row r="3" spans="1:22" ht="15" thickBot="1" x14ac:dyDescent="0.35">
      <c r="A3" s="15" t="s">
        <v>23</v>
      </c>
      <c r="B3" s="13" t="s">
        <v>19</v>
      </c>
      <c r="C3" s="13" t="s">
        <v>20</v>
      </c>
      <c r="D3" s="13" t="s">
        <v>21</v>
      </c>
      <c r="E3" s="20"/>
      <c r="G3" s="15" t="s">
        <v>23</v>
      </c>
      <c r="H3" s="15" t="s">
        <v>24</v>
      </c>
      <c r="I3" s="15" t="s">
        <v>25</v>
      </c>
      <c r="J3" s="15"/>
      <c r="K3" s="15" t="s">
        <v>29</v>
      </c>
      <c r="L3" s="15" t="s">
        <v>30</v>
      </c>
    </row>
    <row r="4" spans="1:22" x14ac:dyDescent="0.3">
      <c r="A4" s="1" t="s">
        <v>0</v>
      </c>
      <c r="B4" s="6">
        <v>7132</v>
      </c>
      <c r="C4" s="6">
        <v>7564</v>
      </c>
      <c r="D4" s="6">
        <v>7935</v>
      </c>
      <c r="E4" s="6"/>
      <c r="G4" s="30" t="s">
        <v>0</v>
      </c>
      <c r="H4" s="19">
        <f>C4-B4</f>
        <v>432</v>
      </c>
      <c r="I4" s="19">
        <f>D4-C4</f>
        <v>371</v>
      </c>
      <c r="K4" s="21">
        <f>(C4-B4)/B4</f>
        <v>6.0572069545709477E-2</v>
      </c>
      <c r="L4" s="21">
        <f>(D4-C4)/C4</f>
        <v>4.9048122686409304E-2</v>
      </c>
    </row>
    <row r="5" spans="1:22" x14ac:dyDescent="0.3">
      <c r="A5" s="1" t="s">
        <v>1</v>
      </c>
      <c r="B5" s="6">
        <v>3918</v>
      </c>
      <c r="C5" s="6">
        <v>4115</v>
      </c>
      <c r="D5" s="6">
        <v>4284</v>
      </c>
      <c r="E5" s="6"/>
      <c r="G5" s="30" t="s">
        <v>1</v>
      </c>
      <c r="H5" s="19">
        <f>C5-B5</f>
        <v>197</v>
      </c>
      <c r="I5" s="19">
        <f>D5-C5</f>
        <v>169</v>
      </c>
      <c r="K5" s="21">
        <f>(C5-B5)/B5</f>
        <v>5.0280755487493618E-2</v>
      </c>
      <c r="L5" s="21">
        <f>(D5-C5)/C5</f>
        <v>4.106925880923451E-2</v>
      </c>
    </row>
    <row r="6" spans="1:22" ht="15" thickBot="1" x14ac:dyDescent="0.35">
      <c r="A6" s="9" t="s">
        <v>2</v>
      </c>
      <c r="B6" s="10">
        <v>3214</v>
      </c>
      <c r="C6" s="10">
        <v>3449</v>
      </c>
      <c r="D6" s="10">
        <v>3651</v>
      </c>
      <c r="E6" s="4"/>
      <c r="G6" s="30" t="s">
        <v>2</v>
      </c>
      <c r="H6" s="19">
        <f>C6-B6</f>
        <v>235</v>
      </c>
      <c r="I6" s="19">
        <f>D6-C6</f>
        <v>202</v>
      </c>
      <c r="K6" s="21">
        <f>(C6-B6)/B6</f>
        <v>7.3117610454262599E-2</v>
      </c>
      <c r="L6" s="21">
        <f>(D6-C6)/C6</f>
        <v>5.8567700782835602E-2</v>
      </c>
      <c r="O6" s="15" t="s">
        <v>33</v>
      </c>
      <c r="P6" s="15" t="s">
        <v>35</v>
      </c>
      <c r="Q6" s="15" t="s">
        <v>34</v>
      </c>
      <c r="R6" s="15" t="s">
        <v>24</v>
      </c>
      <c r="S6" s="15" t="s">
        <v>25</v>
      </c>
      <c r="T6" s="15"/>
      <c r="U6" s="15" t="s">
        <v>29</v>
      </c>
      <c r="V6" s="15" t="s">
        <v>30</v>
      </c>
    </row>
    <row r="7" spans="1:22" x14ac:dyDescent="0.3">
      <c r="A7" s="1" t="s">
        <v>3</v>
      </c>
      <c r="B7" s="6">
        <v>1783</v>
      </c>
      <c r="C7" s="6">
        <v>1905</v>
      </c>
      <c r="D7" s="6">
        <v>1988</v>
      </c>
      <c r="E7" s="6"/>
      <c r="G7" s="30" t="s">
        <v>3</v>
      </c>
      <c r="H7" s="19">
        <f>C7-B7</f>
        <v>122</v>
      </c>
      <c r="I7" s="19">
        <f>D7-C7</f>
        <v>83</v>
      </c>
      <c r="K7" s="21">
        <f>(C7-B7)/B7</f>
        <v>6.842400448681997E-2</v>
      </c>
      <c r="L7" s="21">
        <f>(D7-C7)/C7</f>
        <v>4.3569553805774278E-2</v>
      </c>
      <c r="N7" s="28" t="s">
        <v>32</v>
      </c>
      <c r="O7" s="19">
        <f>B5+B7</f>
        <v>5701</v>
      </c>
      <c r="P7" s="19">
        <f t="shared" ref="P7:Q7" si="0">C5+C7</f>
        <v>6020</v>
      </c>
      <c r="Q7" s="19">
        <f t="shared" si="0"/>
        <v>6272</v>
      </c>
      <c r="R7" s="19">
        <f>P7-O7</f>
        <v>319</v>
      </c>
      <c r="S7" s="19">
        <f>Q7-P7</f>
        <v>252</v>
      </c>
      <c r="U7" s="21">
        <f>(P7-O7)/O7</f>
        <v>5.5955095597263638E-2</v>
      </c>
      <c r="V7" s="21">
        <f>(Q7-P7)/P7</f>
        <v>4.1860465116279069E-2</v>
      </c>
    </row>
    <row r="8" spans="1:22" x14ac:dyDescent="0.3">
      <c r="A8" s="1" t="s">
        <v>4</v>
      </c>
      <c r="B8" s="6">
        <v>1431</v>
      </c>
      <c r="C8" s="6">
        <v>1544</v>
      </c>
      <c r="D8" s="6">
        <v>1663</v>
      </c>
      <c r="E8" s="6"/>
      <c r="G8" s="30" t="s">
        <v>4</v>
      </c>
      <c r="H8" s="19">
        <f>C8-B8</f>
        <v>113</v>
      </c>
      <c r="I8" s="19">
        <f>D8-C8</f>
        <v>119</v>
      </c>
      <c r="K8" s="21">
        <f>(C8-B8)/B8</f>
        <v>7.8965758211041223E-2</v>
      </c>
      <c r="L8" s="21">
        <f>(D8-C8)/C8</f>
        <v>7.7072538860103623E-2</v>
      </c>
    </row>
    <row r="9" spans="1:22" x14ac:dyDescent="0.3">
      <c r="A9" s="9" t="s">
        <v>5</v>
      </c>
      <c r="B9" s="10">
        <v>0</v>
      </c>
      <c r="C9" s="10">
        <v>0</v>
      </c>
      <c r="D9" s="10">
        <v>0</v>
      </c>
      <c r="E9" s="4"/>
      <c r="G9" s="30" t="s">
        <v>5</v>
      </c>
      <c r="H9" s="19">
        <f>C9-B9</f>
        <v>0</v>
      </c>
      <c r="I9" s="19">
        <f>D9-C9</f>
        <v>0</v>
      </c>
      <c r="K9" s="21"/>
      <c r="L9" s="21"/>
    </row>
    <row r="10" spans="1:22" x14ac:dyDescent="0.3">
      <c r="A10" s="1" t="s">
        <v>6</v>
      </c>
      <c r="B10" s="6">
        <v>1431</v>
      </c>
      <c r="C10" s="6">
        <v>1544</v>
      </c>
      <c r="D10" s="6">
        <v>1663</v>
      </c>
      <c r="E10" s="6"/>
      <c r="G10" s="30" t="s">
        <v>6</v>
      </c>
      <c r="H10" s="19">
        <f>C10-B10</f>
        <v>113</v>
      </c>
      <c r="I10" s="19">
        <f>D10-C10</f>
        <v>119</v>
      </c>
      <c r="K10" s="21">
        <f>(C10-B10)/B10</f>
        <v>7.8965758211041223E-2</v>
      </c>
      <c r="L10" s="21">
        <f>(D10-C10)/C10</f>
        <v>7.7072538860103623E-2</v>
      </c>
    </row>
    <row r="11" spans="1:22" x14ac:dyDescent="0.3">
      <c r="A11" s="1" t="s">
        <v>7</v>
      </c>
      <c r="B11" s="6">
        <v>188</v>
      </c>
      <c r="C11" s="6">
        <v>192</v>
      </c>
      <c r="D11" s="6">
        <v>194</v>
      </c>
      <c r="E11" s="6"/>
      <c r="G11" s="30" t="s">
        <v>7</v>
      </c>
      <c r="H11" s="19">
        <f>C11-B11</f>
        <v>4</v>
      </c>
      <c r="I11" s="19">
        <f>D11-C11</f>
        <v>2</v>
      </c>
      <c r="K11" s="21">
        <f>(C11-B11)/B11</f>
        <v>2.1276595744680851E-2</v>
      </c>
      <c r="L11" s="21">
        <f>(D11-C11)/C11</f>
        <v>1.0416666666666666E-2</v>
      </c>
    </row>
    <row r="12" spans="1:22" ht="15" thickBot="1" x14ac:dyDescent="0.35">
      <c r="A12" s="11" t="s">
        <v>8</v>
      </c>
      <c r="B12" s="12">
        <v>301</v>
      </c>
      <c r="C12" s="12">
        <v>324</v>
      </c>
      <c r="D12" s="12">
        <v>349</v>
      </c>
      <c r="E12" s="4"/>
      <c r="G12" s="2" t="s">
        <v>8</v>
      </c>
      <c r="H12" s="25">
        <f>C12-B12</f>
        <v>23</v>
      </c>
      <c r="I12" s="25">
        <f>D12-C12</f>
        <v>25</v>
      </c>
      <c r="J12" s="26"/>
      <c r="K12" s="27">
        <f>(C12-B12)/B12</f>
        <v>7.6411960132890366E-2</v>
      </c>
      <c r="L12" s="27">
        <f>(D12-C12)/C12</f>
        <v>7.716049382716049E-2</v>
      </c>
    </row>
    <row r="13" spans="1:22" ht="15" thickTop="1" x14ac:dyDescent="0.3">
      <c r="A13" s="1" t="s">
        <v>9</v>
      </c>
      <c r="B13" s="6">
        <v>942</v>
      </c>
      <c r="C13" s="6">
        <v>1028</v>
      </c>
      <c r="D13" s="6">
        <v>1120</v>
      </c>
      <c r="E13" s="6"/>
      <c r="G13" s="1" t="s">
        <v>9</v>
      </c>
      <c r="H13" s="22">
        <f>C13-B13</f>
        <v>86</v>
      </c>
      <c r="I13" s="22">
        <f>D13-C13</f>
        <v>92</v>
      </c>
      <c r="J13" s="23"/>
      <c r="K13" s="24">
        <f>(C13-B13)/B13</f>
        <v>9.1295116772823773E-2</v>
      </c>
      <c r="L13" s="24">
        <f>(D13-C13)/C13</f>
        <v>8.9494163424124515E-2</v>
      </c>
    </row>
    <row r="14" spans="1:22" x14ac:dyDescent="0.3">
      <c r="A14" s="1"/>
      <c r="B14" s="6"/>
      <c r="C14" s="6"/>
      <c r="D14" s="6"/>
      <c r="E14" s="6"/>
      <c r="H14" s="19"/>
      <c r="I14" s="19"/>
      <c r="K14" s="21"/>
      <c r="L14" s="21"/>
    </row>
    <row r="15" spans="1:22" x14ac:dyDescent="0.3">
      <c r="A15" s="1"/>
      <c r="C15" s="1"/>
      <c r="H15" s="19"/>
      <c r="I15" s="19"/>
      <c r="K15" s="21"/>
      <c r="L15" s="21"/>
    </row>
    <row r="16" spans="1:22" ht="15" thickBot="1" x14ac:dyDescent="0.35">
      <c r="A16" s="14" t="s">
        <v>22</v>
      </c>
      <c r="B16" s="13" t="s">
        <v>19</v>
      </c>
      <c r="C16" s="13" t="s">
        <v>20</v>
      </c>
      <c r="D16" s="13" t="s">
        <v>21</v>
      </c>
      <c r="E16" s="20"/>
      <c r="G16" s="14" t="s">
        <v>22</v>
      </c>
      <c r="H16" s="14" t="s">
        <v>24</v>
      </c>
      <c r="I16" s="14" t="s">
        <v>25</v>
      </c>
      <c r="J16" s="14"/>
      <c r="K16" s="14" t="s">
        <v>29</v>
      </c>
      <c r="L16" s="14" t="s">
        <v>30</v>
      </c>
    </row>
    <row r="17" spans="1:12" x14ac:dyDescent="0.3">
      <c r="A17" s="1" t="s">
        <v>10</v>
      </c>
      <c r="B17" s="4">
        <v>1200</v>
      </c>
      <c r="C17" s="4">
        <v>1100</v>
      </c>
      <c r="D17" s="4">
        <v>1050</v>
      </c>
      <c r="E17" s="4"/>
      <c r="G17" s="1" t="s">
        <v>10</v>
      </c>
      <c r="H17" s="19">
        <f>C17-B17</f>
        <v>-100</v>
      </c>
      <c r="I17" s="19">
        <f>D17-C17</f>
        <v>-50</v>
      </c>
      <c r="K17" s="21">
        <f>(C17-B17)/B17</f>
        <v>-8.3333333333333329E-2</v>
      </c>
      <c r="L17" s="21">
        <f>(D17-C17)/C17</f>
        <v>-4.5454545454545456E-2</v>
      </c>
    </row>
    <row r="18" spans="1:12" x14ac:dyDescent="0.3">
      <c r="A18" s="1" t="s">
        <v>11</v>
      </c>
      <c r="B18" s="4">
        <v>750</v>
      </c>
      <c r="C18" s="4">
        <v>810</v>
      </c>
      <c r="D18" s="4">
        <v>860</v>
      </c>
      <c r="E18" s="4"/>
      <c r="G18" s="1" t="s">
        <v>11</v>
      </c>
      <c r="H18" s="19">
        <f>C18-B18</f>
        <v>60</v>
      </c>
      <c r="I18" s="19">
        <f>D18-C18</f>
        <v>50</v>
      </c>
      <c r="K18" s="21">
        <f>(C18-B18)/B18</f>
        <v>0.08</v>
      </c>
      <c r="L18" s="21">
        <f>(D18-C18)/C18</f>
        <v>6.1728395061728392E-2</v>
      </c>
    </row>
    <row r="19" spans="1:12" x14ac:dyDescent="0.3">
      <c r="A19" s="1" t="s">
        <v>12</v>
      </c>
      <c r="B19" s="4">
        <v>1100</v>
      </c>
      <c r="C19" s="4">
        <v>1180</v>
      </c>
      <c r="D19" s="4">
        <v>1250</v>
      </c>
      <c r="E19" s="4"/>
      <c r="G19" s="1" t="s">
        <v>12</v>
      </c>
      <c r="H19" s="19">
        <f>C19-B19</f>
        <v>80</v>
      </c>
      <c r="I19" s="19">
        <f>D19-C19</f>
        <v>70</v>
      </c>
      <c r="K19" s="21">
        <f>(C19-B19)/B19</f>
        <v>7.2727272727272724E-2</v>
      </c>
      <c r="L19" s="21">
        <f>(D19-C19)/C19</f>
        <v>5.9322033898305086E-2</v>
      </c>
    </row>
    <row r="20" spans="1:12" ht="15" thickBot="1" x14ac:dyDescent="0.35">
      <c r="A20" s="11" t="s">
        <v>13</v>
      </c>
      <c r="B20" s="12">
        <v>3400</v>
      </c>
      <c r="C20" s="12">
        <v>3550</v>
      </c>
      <c r="D20" s="12">
        <v>3700</v>
      </c>
      <c r="E20" s="4"/>
      <c r="G20" s="2" t="s">
        <v>13</v>
      </c>
      <c r="H20" s="25">
        <f>C20-B20</f>
        <v>150</v>
      </c>
      <c r="I20" s="25">
        <f>D20-C20</f>
        <v>150</v>
      </c>
      <c r="J20" s="26"/>
      <c r="K20" s="27">
        <f>(C20-B20)/B20</f>
        <v>4.4117647058823532E-2</v>
      </c>
      <c r="L20" s="27">
        <f>(D20-C20)/C20</f>
        <v>4.2253521126760563E-2</v>
      </c>
    </row>
    <row r="21" spans="1:12" ht="15" thickTop="1" x14ac:dyDescent="0.3">
      <c r="A21" s="1" t="s">
        <v>17</v>
      </c>
      <c r="B21" s="6">
        <v>6450</v>
      </c>
      <c r="C21" s="6">
        <v>6640</v>
      </c>
      <c r="D21" s="6">
        <v>5020</v>
      </c>
      <c r="E21" s="6"/>
      <c r="G21" s="1" t="s">
        <v>17</v>
      </c>
      <c r="H21" s="19">
        <f>C21-B21</f>
        <v>190</v>
      </c>
      <c r="I21" s="19">
        <f>D21-C21</f>
        <v>-1620</v>
      </c>
      <c r="K21" s="21">
        <f>(C21-B21)/B21</f>
        <v>2.9457364341085271E-2</v>
      </c>
      <c r="L21" s="21">
        <f>(D21-C21)/C21</f>
        <v>-0.24397590361445784</v>
      </c>
    </row>
    <row r="22" spans="1:12" x14ac:dyDescent="0.3">
      <c r="A22" s="1"/>
      <c r="B22" s="6"/>
      <c r="C22" s="6"/>
      <c r="D22" s="6"/>
      <c r="E22" s="6"/>
      <c r="G22" s="1"/>
      <c r="H22" s="19"/>
      <c r="I22" s="19"/>
      <c r="K22" s="21"/>
      <c r="L22" s="21"/>
    </row>
    <row r="23" spans="1:12" x14ac:dyDescent="0.3">
      <c r="A23" s="1" t="s">
        <v>14</v>
      </c>
      <c r="B23" s="4">
        <v>900</v>
      </c>
      <c r="C23" s="4">
        <v>950</v>
      </c>
      <c r="D23" s="4">
        <v>980</v>
      </c>
      <c r="E23" s="4"/>
      <c r="G23" s="1" t="s">
        <v>14</v>
      </c>
      <c r="H23" s="19">
        <f>C23-B23</f>
        <v>50</v>
      </c>
      <c r="I23" s="19">
        <v>0</v>
      </c>
      <c r="K23" s="21">
        <f>(C23-B23)/B23</f>
        <v>5.5555555555555552E-2</v>
      </c>
      <c r="L23" s="21">
        <f>(D23-C23)/C23</f>
        <v>3.1578947368421054E-2</v>
      </c>
    </row>
    <row r="24" spans="1:12" x14ac:dyDescent="0.3">
      <c r="A24" s="1" t="s">
        <v>15</v>
      </c>
      <c r="B24" s="4">
        <v>3000</v>
      </c>
      <c r="C24" s="4">
        <v>3200</v>
      </c>
      <c r="D24" s="4">
        <v>3400</v>
      </c>
      <c r="E24" s="4"/>
      <c r="G24" s="1" t="s">
        <v>15</v>
      </c>
      <c r="H24" s="19">
        <f>C24-B24</f>
        <v>200</v>
      </c>
      <c r="I24" s="19">
        <f>D24-C24</f>
        <v>200</v>
      </c>
      <c r="K24" s="21">
        <f>(C24-B24)/B24</f>
        <v>6.6666666666666666E-2</v>
      </c>
      <c r="L24" s="21">
        <f>(D24-C24)/C24</f>
        <v>6.25E-2</v>
      </c>
    </row>
    <row r="25" spans="1:12" ht="15" thickBot="1" x14ac:dyDescent="0.35">
      <c r="A25" s="11" t="s">
        <v>16</v>
      </c>
      <c r="B25" s="12">
        <v>2550</v>
      </c>
      <c r="C25" s="12">
        <v>2490</v>
      </c>
      <c r="D25" s="12">
        <v>2480</v>
      </c>
      <c r="E25" s="4"/>
      <c r="G25" s="2" t="s">
        <v>16</v>
      </c>
      <c r="H25" s="25">
        <f>C25-B25</f>
        <v>-60</v>
      </c>
      <c r="I25" s="25">
        <f>D25-C25</f>
        <v>-10</v>
      </c>
      <c r="J25" s="26"/>
      <c r="K25" s="27">
        <f>(C25-B25)/B25</f>
        <v>-2.3529411764705882E-2</v>
      </c>
      <c r="L25" s="27">
        <f>(D25-C25)/C25</f>
        <v>-4.0160642570281121E-3</v>
      </c>
    </row>
    <row r="26" spans="1:12" ht="15" thickTop="1" x14ac:dyDescent="0.3">
      <c r="A26" s="1" t="s">
        <v>18</v>
      </c>
      <c r="B26" s="6">
        <v>6450</v>
      </c>
      <c r="C26" s="6">
        <v>6640</v>
      </c>
      <c r="D26" s="6">
        <v>5020</v>
      </c>
      <c r="E26" s="6"/>
      <c r="G26" s="1" t="s">
        <v>18</v>
      </c>
      <c r="H26" s="19">
        <f>C26-B26</f>
        <v>190</v>
      </c>
      <c r="I26" s="19">
        <f>D26-C26</f>
        <v>-1620</v>
      </c>
      <c r="K26" s="21">
        <f>(C26-B26)/B26</f>
        <v>2.9457364341085271E-2</v>
      </c>
      <c r="L26" s="21">
        <f>(D26-C26)/C26</f>
        <v>-0.24397590361445784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6"/>
  <sheetViews>
    <sheetView topLeftCell="D1" zoomScale="82" zoomScaleNormal="150" workbookViewId="0">
      <selection activeCell="O7" sqref="O7"/>
    </sheetView>
  </sheetViews>
  <sheetFormatPr defaultColWidth="8.77734375" defaultRowHeight="14.4" x14ac:dyDescent="0.3"/>
  <cols>
    <col min="1" max="4" width="20.77734375" customWidth="1"/>
    <col min="7" max="7" width="21.6640625" bestFit="1" customWidth="1"/>
    <col min="8" max="9" width="8.88671875" bestFit="1" customWidth="1"/>
    <col min="10" max="10" width="16.33203125" bestFit="1" customWidth="1"/>
    <col min="11" max="12" width="17.5546875" bestFit="1" customWidth="1"/>
    <col min="14" max="14" width="14.33203125" bestFit="1" customWidth="1"/>
    <col min="15" max="18" width="8.88671875" bestFit="1" customWidth="1"/>
    <col min="19" max="19" width="7.44140625" bestFit="1" customWidth="1"/>
    <col min="21" max="22" width="17.5546875" bestFit="1" customWidth="1"/>
  </cols>
  <sheetData>
    <row r="1" spans="1:22" ht="21" x14ac:dyDescent="0.4">
      <c r="A1" s="17" t="s">
        <v>28</v>
      </c>
      <c r="B1" s="17"/>
      <c r="C1" s="17"/>
      <c r="D1" s="17"/>
    </row>
    <row r="2" spans="1:22" x14ac:dyDescent="0.3">
      <c r="C2" s="1"/>
    </row>
    <row r="3" spans="1:22" ht="15" thickBot="1" x14ac:dyDescent="0.35">
      <c r="A3" s="15" t="s">
        <v>23</v>
      </c>
      <c r="B3" s="13" t="s">
        <v>19</v>
      </c>
      <c r="C3" s="13" t="s">
        <v>20</v>
      </c>
      <c r="D3" s="13" t="s">
        <v>21</v>
      </c>
      <c r="G3" s="15" t="s">
        <v>23</v>
      </c>
      <c r="H3" s="15" t="s">
        <v>24</v>
      </c>
      <c r="I3" s="15" t="s">
        <v>25</v>
      </c>
      <c r="J3" s="15"/>
      <c r="K3" s="15" t="s">
        <v>29</v>
      </c>
      <c r="L3" s="15" t="s">
        <v>30</v>
      </c>
    </row>
    <row r="4" spans="1:22" x14ac:dyDescent="0.3">
      <c r="A4" s="1" t="s">
        <v>0</v>
      </c>
      <c r="B4" s="6">
        <v>8220</v>
      </c>
      <c r="C4" s="6">
        <v>9286</v>
      </c>
      <c r="D4" s="6">
        <v>9845</v>
      </c>
      <c r="G4" s="30" t="s">
        <v>0</v>
      </c>
      <c r="H4" s="19">
        <f>C4-B4</f>
        <v>1066</v>
      </c>
      <c r="I4" s="19">
        <f>D4-C4</f>
        <v>559</v>
      </c>
      <c r="K4" s="21">
        <f>(C4-B4)/B4</f>
        <v>0.12968369829683699</v>
      </c>
      <c r="L4" s="21">
        <f>(D4-C4)/C4</f>
        <v>6.0198147749300018E-2</v>
      </c>
    </row>
    <row r="5" spans="1:22" x14ac:dyDescent="0.3">
      <c r="A5" s="1" t="s">
        <v>1</v>
      </c>
      <c r="B5" s="6">
        <v>4721</v>
      </c>
      <c r="C5" s="6">
        <v>5287</v>
      </c>
      <c r="D5" s="6">
        <v>5648</v>
      </c>
      <c r="G5" s="30" t="s">
        <v>1</v>
      </c>
      <c r="H5" s="19">
        <f>C5-B5</f>
        <v>566</v>
      </c>
      <c r="I5" s="19">
        <f>D5-C5</f>
        <v>361</v>
      </c>
      <c r="K5" s="21">
        <f>(C5-B5)/B5</f>
        <v>0.11988985384452447</v>
      </c>
      <c r="L5" s="21">
        <f>(D5-C5)/C5</f>
        <v>6.8280688481180254E-2</v>
      </c>
    </row>
    <row r="6" spans="1:22" ht="15" thickBot="1" x14ac:dyDescent="0.35">
      <c r="A6" s="9" t="s">
        <v>2</v>
      </c>
      <c r="B6" s="10">
        <v>3499</v>
      </c>
      <c r="C6" s="10">
        <v>3999</v>
      </c>
      <c r="D6" s="10">
        <v>4197</v>
      </c>
      <c r="G6" s="30" t="s">
        <v>2</v>
      </c>
      <c r="H6" s="19">
        <f>C6-B6</f>
        <v>500</v>
      </c>
      <c r="I6" s="19">
        <f>D6-C6</f>
        <v>198</v>
      </c>
      <c r="K6" s="21">
        <f>(C6-B6)/B6</f>
        <v>0.14289797084881395</v>
      </c>
      <c r="L6" s="21">
        <f>(D6-C6)/C6</f>
        <v>4.9512378094523628E-2</v>
      </c>
      <c r="O6" s="15" t="s">
        <v>33</v>
      </c>
      <c r="P6" s="15" t="s">
        <v>35</v>
      </c>
      <c r="Q6" s="15" t="s">
        <v>34</v>
      </c>
      <c r="R6" s="15" t="s">
        <v>24</v>
      </c>
      <c r="S6" s="15" t="s">
        <v>25</v>
      </c>
      <c r="T6" s="15"/>
      <c r="U6" s="15" t="s">
        <v>29</v>
      </c>
      <c r="V6" s="15" t="s">
        <v>30</v>
      </c>
    </row>
    <row r="7" spans="1:22" x14ac:dyDescent="0.3">
      <c r="A7" s="1" t="s">
        <v>3</v>
      </c>
      <c r="B7" s="6">
        <v>2025</v>
      </c>
      <c r="C7" s="6">
        <v>2614</v>
      </c>
      <c r="D7" s="6">
        <v>2676</v>
      </c>
      <c r="G7" s="30" t="s">
        <v>3</v>
      </c>
      <c r="H7" s="19">
        <f>C7-B7</f>
        <v>589</v>
      </c>
      <c r="I7" s="19">
        <f>D7-C7</f>
        <v>62</v>
      </c>
      <c r="K7" s="21">
        <f>(C7-B7)/B7</f>
        <v>0.29086419753086418</v>
      </c>
      <c r="L7" s="21">
        <f>(D7-C7)/C7</f>
        <v>2.3718439173680182E-2</v>
      </c>
      <c r="N7" s="28" t="s">
        <v>32</v>
      </c>
      <c r="O7" s="19">
        <f>B5+B7</f>
        <v>6746</v>
      </c>
      <c r="P7" s="19">
        <f t="shared" ref="P7:Q7" si="0">C5+C7</f>
        <v>7901</v>
      </c>
      <c r="Q7" s="19">
        <f t="shared" si="0"/>
        <v>8324</v>
      </c>
      <c r="R7" s="19">
        <f>P7-O7</f>
        <v>1155</v>
      </c>
      <c r="S7" s="19">
        <f>Q7-P7</f>
        <v>423</v>
      </c>
      <c r="U7" s="21">
        <f>(P7-O7)/O7</f>
        <v>0.17121257041209606</v>
      </c>
      <c r="V7" s="21">
        <f>(Q7-P7)/P7</f>
        <v>5.3537526895329708E-2</v>
      </c>
    </row>
    <row r="8" spans="1:22" x14ac:dyDescent="0.3">
      <c r="A8" s="1" t="s">
        <v>4</v>
      </c>
      <c r="B8" s="6">
        <v>1474</v>
      </c>
      <c r="C8" s="6">
        <v>1385</v>
      </c>
      <c r="D8" s="6">
        <v>1518</v>
      </c>
      <c r="G8" s="30" t="s">
        <v>4</v>
      </c>
      <c r="H8" s="19">
        <f>C8-B8</f>
        <v>-89</v>
      </c>
      <c r="I8" s="19">
        <f>D8-C8</f>
        <v>133</v>
      </c>
      <c r="K8" s="21">
        <f>(C8-B8)/B8</f>
        <v>-6.0379918588873815E-2</v>
      </c>
      <c r="L8" s="21">
        <f>(D8-C8)/C8</f>
        <v>9.6028880866425997E-2</v>
      </c>
    </row>
    <row r="9" spans="1:22" x14ac:dyDescent="0.3">
      <c r="A9" s="9" t="s">
        <v>5</v>
      </c>
      <c r="B9" s="10">
        <v>0</v>
      </c>
      <c r="C9" s="10">
        <v>54</v>
      </c>
      <c r="D9" s="10">
        <v>134</v>
      </c>
      <c r="G9" s="30" t="s">
        <v>5</v>
      </c>
      <c r="H9" s="19">
        <f>C9-B9</f>
        <v>54</v>
      </c>
      <c r="I9" s="19">
        <f>D9-C9</f>
        <v>80</v>
      </c>
      <c r="K9" s="21"/>
      <c r="L9" s="21"/>
    </row>
    <row r="10" spans="1:22" x14ac:dyDescent="0.3">
      <c r="A10" s="1" t="s">
        <v>6</v>
      </c>
      <c r="B10" s="6">
        <v>1556</v>
      </c>
      <c r="C10" s="6">
        <v>1439</v>
      </c>
      <c r="D10" s="6">
        <v>1652</v>
      </c>
      <c r="G10" s="30" t="s">
        <v>6</v>
      </c>
      <c r="H10" s="19">
        <f>C10-B10</f>
        <v>-117</v>
      </c>
      <c r="I10" s="19">
        <f>D10-C10</f>
        <v>213</v>
      </c>
      <c r="K10" s="21">
        <f>(C10-B10)/B10</f>
        <v>-7.5192802056555264E-2</v>
      </c>
      <c r="L10" s="21">
        <f>(D10-C10)/C10</f>
        <v>0.14801945795691451</v>
      </c>
    </row>
    <row r="11" spans="1:22" x14ac:dyDescent="0.3">
      <c r="A11" s="1" t="s">
        <v>7</v>
      </c>
      <c r="B11" s="6">
        <v>199</v>
      </c>
      <c r="C11" s="6">
        <v>287</v>
      </c>
      <c r="D11" s="6">
        <v>305</v>
      </c>
      <c r="G11" s="30" t="s">
        <v>7</v>
      </c>
      <c r="H11" s="19">
        <f>C11-B11</f>
        <v>88</v>
      </c>
      <c r="I11" s="19">
        <f>D11-C11</f>
        <v>18</v>
      </c>
      <c r="K11" s="21">
        <f>(C11-B11)/B11</f>
        <v>0.44221105527638194</v>
      </c>
      <c r="L11" s="21">
        <f>(D11-C11)/C11</f>
        <v>6.2717770034843204E-2</v>
      </c>
    </row>
    <row r="12" spans="1:22" ht="15" thickBot="1" x14ac:dyDescent="0.35">
      <c r="A12" s="11" t="s">
        <v>8</v>
      </c>
      <c r="B12" s="12">
        <v>370</v>
      </c>
      <c r="C12" s="12">
        <v>340</v>
      </c>
      <c r="D12" s="12">
        <v>387</v>
      </c>
      <c r="G12" s="2" t="s">
        <v>8</v>
      </c>
      <c r="H12" s="25">
        <f>C12-B12</f>
        <v>-30</v>
      </c>
      <c r="I12" s="25">
        <f>D12-C12</f>
        <v>47</v>
      </c>
      <c r="J12" s="26"/>
      <c r="K12" s="27">
        <f>(C12-B12)/B12</f>
        <v>-8.1081081081081086E-2</v>
      </c>
      <c r="L12" s="27">
        <f>(D12-C12)/C12</f>
        <v>0.13823529411764707</v>
      </c>
    </row>
    <row r="13" spans="1:22" ht="15" thickTop="1" x14ac:dyDescent="0.3">
      <c r="A13" s="1" t="s">
        <v>9</v>
      </c>
      <c r="B13" s="6">
        <v>941</v>
      </c>
      <c r="C13" s="6">
        <v>812</v>
      </c>
      <c r="D13" s="6">
        <v>960</v>
      </c>
      <c r="G13" s="1" t="s">
        <v>9</v>
      </c>
      <c r="H13" s="22">
        <f>C13-B13</f>
        <v>-129</v>
      </c>
      <c r="I13" s="22">
        <f>D13-C13</f>
        <v>148</v>
      </c>
      <c r="J13" s="23"/>
      <c r="K13" s="24">
        <f>(C13-B13)/B13</f>
        <v>-0.13708820403825717</v>
      </c>
      <c r="L13" s="24">
        <f>(D13-C13)/C13</f>
        <v>0.18226600985221675</v>
      </c>
    </row>
    <row r="14" spans="1:22" x14ac:dyDescent="0.3">
      <c r="A14" s="1"/>
      <c r="H14" s="19"/>
      <c r="I14" s="19"/>
      <c r="K14" s="21"/>
      <c r="L14" s="21"/>
    </row>
    <row r="15" spans="1:22" x14ac:dyDescent="0.3">
      <c r="A15" s="1"/>
      <c r="C15" s="1"/>
      <c r="H15" s="19"/>
      <c r="I15" s="19"/>
      <c r="K15" s="21"/>
      <c r="L15" s="21"/>
    </row>
    <row r="16" spans="1:22" ht="15" thickBot="1" x14ac:dyDescent="0.35">
      <c r="A16" s="14" t="s">
        <v>22</v>
      </c>
      <c r="B16" s="13" t="s">
        <v>19</v>
      </c>
      <c r="C16" s="13" t="s">
        <v>20</v>
      </c>
      <c r="D16" s="13" t="s">
        <v>21</v>
      </c>
      <c r="G16" s="14" t="s">
        <v>22</v>
      </c>
      <c r="H16" s="14" t="s">
        <v>24</v>
      </c>
      <c r="I16" s="14" t="s">
        <v>25</v>
      </c>
      <c r="J16" s="14"/>
      <c r="K16" s="14" t="s">
        <v>29</v>
      </c>
      <c r="L16" s="14" t="s">
        <v>30</v>
      </c>
    </row>
    <row r="17" spans="1:12" x14ac:dyDescent="0.3">
      <c r="A17" s="1" t="s">
        <v>10</v>
      </c>
      <c r="B17" s="4">
        <v>2000</v>
      </c>
      <c r="C17" s="4">
        <v>1250</v>
      </c>
      <c r="D17" s="4">
        <v>1100</v>
      </c>
      <c r="G17" s="1" t="s">
        <v>10</v>
      </c>
      <c r="H17" s="19">
        <f>C17-B17</f>
        <v>-750</v>
      </c>
      <c r="I17" s="19">
        <f>D17-C17</f>
        <v>-150</v>
      </c>
      <c r="K17" s="21">
        <f>(C17-B17)/B17</f>
        <v>-0.375</v>
      </c>
      <c r="L17" s="21">
        <f>(D17-C17)/C17</f>
        <v>-0.12</v>
      </c>
    </row>
    <row r="18" spans="1:12" x14ac:dyDescent="0.3">
      <c r="A18" s="1" t="s">
        <v>11</v>
      </c>
      <c r="B18" s="4">
        <v>1100</v>
      </c>
      <c r="C18" s="4">
        <v>1900</v>
      </c>
      <c r="D18" s="4">
        <v>2750</v>
      </c>
      <c r="G18" s="1" t="s">
        <v>11</v>
      </c>
      <c r="H18" s="19">
        <f>C18-B18</f>
        <v>800</v>
      </c>
      <c r="I18" s="19">
        <f>D18-C18</f>
        <v>850</v>
      </c>
      <c r="K18" s="21">
        <f>(C18-B18)/B18</f>
        <v>0.72727272727272729</v>
      </c>
      <c r="L18" s="21">
        <f>(D18-C18)/C18</f>
        <v>0.44736842105263158</v>
      </c>
    </row>
    <row r="19" spans="1:12" x14ac:dyDescent="0.3">
      <c r="A19" s="1" t="s">
        <v>12</v>
      </c>
      <c r="B19" s="4">
        <v>1600</v>
      </c>
      <c r="C19" s="4">
        <v>1850</v>
      </c>
      <c r="D19" s="4">
        <v>2250</v>
      </c>
      <c r="G19" s="1" t="s">
        <v>12</v>
      </c>
      <c r="H19" s="19">
        <f>C19-B19</f>
        <v>250</v>
      </c>
      <c r="I19" s="19">
        <f>D19-C19</f>
        <v>400</v>
      </c>
      <c r="K19" s="21">
        <f>(C19-B19)/B19</f>
        <v>0.15625</v>
      </c>
      <c r="L19" s="21">
        <f>(D19-C19)/C19</f>
        <v>0.21621621621621623</v>
      </c>
    </row>
    <row r="20" spans="1:12" ht="15" thickBot="1" x14ac:dyDescent="0.35">
      <c r="A20" s="11" t="s">
        <v>13</v>
      </c>
      <c r="B20" s="12">
        <v>4600</v>
      </c>
      <c r="C20" s="12">
        <v>4700</v>
      </c>
      <c r="D20" s="12">
        <v>4950</v>
      </c>
      <c r="G20" s="2" t="s">
        <v>13</v>
      </c>
      <c r="H20" s="25">
        <f>C20-B20</f>
        <v>100</v>
      </c>
      <c r="I20" s="25">
        <f>D20-C20</f>
        <v>250</v>
      </c>
      <c r="J20" s="26"/>
      <c r="K20" s="27">
        <f>(C20-B20)/B20</f>
        <v>2.1739130434782608E-2</v>
      </c>
      <c r="L20" s="27">
        <f>(D20-C20)/C20</f>
        <v>5.3191489361702128E-2</v>
      </c>
    </row>
    <row r="21" spans="1:12" ht="15" thickTop="1" x14ac:dyDescent="0.3">
      <c r="A21" s="1" t="s">
        <v>17</v>
      </c>
      <c r="B21" s="6">
        <v>9300</v>
      </c>
      <c r="C21" s="6">
        <v>9700</v>
      </c>
      <c r="D21" s="6">
        <v>11050</v>
      </c>
      <c r="G21" s="1" t="s">
        <v>17</v>
      </c>
      <c r="H21" s="19">
        <f>C21-B21</f>
        <v>400</v>
      </c>
      <c r="I21" s="19">
        <f>D21-C21</f>
        <v>1350</v>
      </c>
      <c r="K21" s="21">
        <f>(C21-B21)/B21</f>
        <v>4.3010752688172046E-2</v>
      </c>
      <c r="L21" s="21">
        <f>(D21-C21)/C21</f>
        <v>0.13917525773195877</v>
      </c>
    </row>
    <row r="22" spans="1:12" x14ac:dyDescent="0.3">
      <c r="A22" s="1"/>
      <c r="B22" s="6"/>
      <c r="C22" s="6"/>
      <c r="D22" s="6"/>
      <c r="G22" s="1"/>
      <c r="H22" s="19"/>
      <c r="I22" s="19"/>
      <c r="K22" s="21"/>
      <c r="L22" s="21"/>
    </row>
    <row r="23" spans="1:12" x14ac:dyDescent="0.3">
      <c r="A23" s="1" t="s">
        <v>14</v>
      </c>
      <c r="B23" s="4">
        <v>1200</v>
      </c>
      <c r="C23" s="4">
        <v>1450</v>
      </c>
      <c r="D23" s="4">
        <v>1700</v>
      </c>
      <c r="G23" s="1" t="s">
        <v>14</v>
      </c>
      <c r="H23" s="19">
        <f>C23-B23</f>
        <v>250</v>
      </c>
      <c r="I23" s="19">
        <v>0</v>
      </c>
      <c r="K23" s="21">
        <f>(C23-B23)/B23</f>
        <v>0.20833333333333334</v>
      </c>
      <c r="L23" s="21">
        <f>(D23-C23)/C23</f>
        <v>0.17241379310344829</v>
      </c>
    </row>
    <row r="24" spans="1:12" x14ac:dyDescent="0.3">
      <c r="A24" s="1" t="s">
        <v>15</v>
      </c>
      <c r="B24" s="4">
        <v>4700</v>
      </c>
      <c r="C24" s="4">
        <v>4800</v>
      </c>
      <c r="D24" s="4">
        <v>5600</v>
      </c>
      <c r="G24" s="1" t="s">
        <v>15</v>
      </c>
      <c r="H24" s="19">
        <f>C24-B24</f>
        <v>100</v>
      </c>
      <c r="I24" s="19">
        <f>D24-C24</f>
        <v>800</v>
      </c>
      <c r="K24" s="21">
        <f>(C24-B24)/B24</f>
        <v>2.1276595744680851E-2</v>
      </c>
      <c r="L24" s="21">
        <f>(D24-C24)/C24</f>
        <v>0.16666666666666666</v>
      </c>
    </row>
    <row r="25" spans="1:12" ht="15" thickBot="1" x14ac:dyDescent="0.35">
      <c r="A25" s="11" t="s">
        <v>16</v>
      </c>
      <c r="B25" s="12">
        <v>3400</v>
      </c>
      <c r="C25" s="12">
        <v>3450</v>
      </c>
      <c r="D25" s="12">
        <v>3750</v>
      </c>
      <c r="G25" s="2" t="s">
        <v>16</v>
      </c>
      <c r="H25" s="25">
        <f>C25-B25</f>
        <v>50</v>
      </c>
      <c r="I25" s="25">
        <f>D25-C25</f>
        <v>300</v>
      </c>
      <c r="J25" s="26"/>
      <c r="K25" s="27">
        <f>(C25-B25)/B25</f>
        <v>1.4705882352941176E-2</v>
      </c>
      <c r="L25" s="27">
        <f>(D25-C25)/C25</f>
        <v>8.6956521739130432E-2</v>
      </c>
    </row>
    <row r="26" spans="1:12" ht="15" thickTop="1" x14ac:dyDescent="0.3">
      <c r="A26" s="1" t="s">
        <v>18</v>
      </c>
      <c r="B26" s="6">
        <v>9300</v>
      </c>
      <c r="C26" s="6">
        <v>9700</v>
      </c>
      <c r="D26" s="6">
        <v>11050</v>
      </c>
      <c r="G26" s="1" t="s">
        <v>18</v>
      </c>
      <c r="H26" s="19">
        <f>C26-B26</f>
        <v>400</v>
      </c>
      <c r="I26" s="19">
        <f>D26-C26</f>
        <v>1350</v>
      </c>
      <c r="K26" s="21">
        <f>(C26-B26)/B26</f>
        <v>4.3010752688172046E-2</v>
      </c>
      <c r="L26" s="21">
        <f>(D26-C26)/C26</f>
        <v>0.13917525773195877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X</vt:lpstr>
      <vt:lpstr>Company Y</vt:lpstr>
      <vt:lpstr>Company 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Lancaster, Devon</dc:creator>
  <cp:lastModifiedBy>Pranshu Mittal</cp:lastModifiedBy>
  <dcterms:created xsi:type="dcterms:W3CDTF">2025-09-05T19:42:14Z</dcterms:created>
  <dcterms:modified xsi:type="dcterms:W3CDTF">2025-11-14T17:17:23Z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2025-09-05T20:11:11Z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5d5d0cd7-1c1d-4c53-9a33-ace17a6f58bf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</Properties>
</file>